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80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arim\Documents\Coursera\VBA Part 3\Monte Carlo\"/>
    </mc:Choice>
  </mc:AlternateContent>
  <xr:revisionPtr revIDLastSave="0" documentId="13_ncr:1_{F322A1FF-8768-4E60-B5F3-25587E37EC54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Main" sheetId="1" r:id="rId1"/>
    <sheet name="Histogram" sheetId="76" r:id="rId2"/>
    <sheet name="Histogram Data" sheetId="2" r:id="rId3"/>
  </sheets>
  <functionGroups builtInGroupCount="19"/>
  <definedNames>
    <definedName name="Cland">Main!$B$3</definedName>
    <definedName name="COS">Main!$H$3</definedName>
    <definedName name="Croyal">Main!$B$4</definedName>
    <definedName name="Cstart">Main!$B$7</definedName>
    <definedName name="CTDC">Main!$B$5</definedName>
    <definedName name="i">Main!$H$4</definedName>
    <definedName name="S">Main!$E$3</definedName>
    <definedName name="tax">Main!$E$4</definedName>
    <definedName name="WC">Main!$B$6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24" i="1" l="1"/>
  <c r="I24" i="1"/>
  <c r="E24" i="1"/>
  <c r="C24" i="1"/>
  <c r="J23" i="1"/>
  <c r="I23" i="1"/>
  <c r="E23" i="1"/>
  <c r="J22" i="1"/>
  <c r="I22" i="1"/>
  <c r="E22" i="1"/>
  <c r="J21" i="1"/>
  <c r="I21" i="1"/>
  <c r="E21" i="1"/>
  <c r="J20" i="1"/>
  <c r="I20" i="1"/>
  <c r="E20" i="1"/>
  <c r="J19" i="1"/>
  <c r="I19" i="1"/>
  <c r="H19" i="1"/>
  <c r="E19" i="1"/>
  <c r="J18" i="1"/>
  <c r="I18" i="1"/>
  <c r="H18" i="1"/>
  <c r="E18" i="1"/>
  <c r="J17" i="1"/>
  <c r="I17" i="1"/>
  <c r="H17" i="1"/>
  <c r="E17" i="1"/>
  <c r="J16" i="1"/>
  <c r="I16" i="1"/>
  <c r="H16" i="1"/>
  <c r="E16" i="1"/>
  <c r="J15" i="1"/>
  <c r="I15" i="1"/>
  <c r="H15" i="1"/>
  <c r="E15" i="1"/>
  <c r="J14" i="1"/>
  <c r="I14" i="1"/>
  <c r="H14" i="1"/>
  <c r="E14" i="1"/>
  <c r="J13" i="1"/>
  <c r="I13" i="1"/>
  <c r="H13" i="1"/>
  <c r="E13" i="1"/>
  <c r="J12" i="1"/>
  <c r="I12" i="1"/>
  <c r="H12" i="1"/>
  <c r="E12" i="1"/>
  <c r="F11" i="1"/>
  <c r="C11" i="1"/>
  <c r="B11" i="1"/>
  <c r="D10" i="1"/>
  <c r="B10" i="1"/>
  <c r="K20" i="1" l="1"/>
  <c r="L20" i="1" s="1"/>
  <c r="M20" i="1" s="1"/>
  <c r="K23" i="1"/>
  <c r="L23" i="1" s="1"/>
  <c r="M23" i="1" s="1"/>
  <c r="K24" i="1"/>
  <c r="L24" i="1" s="1"/>
  <c r="M24" i="1" s="1"/>
  <c r="K21" i="1"/>
  <c r="L21" i="1" s="1"/>
  <c r="M21" i="1" s="1"/>
  <c r="K22" i="1"/>
  <c r="L22" i="1" s="1"/>
  <c r="M22" i="1" s="1"/>
  <c r="L11" i="1"/>
  <c r="M11" i="1" s="1"/>
  <c r="K12" i="1"/>
  <c r="L12" i="1" s="1"/>
  <c r="M12" i="1" s="1"/>
  <c r="K14" i="1"/>
  <c r="L14" i="1" s="1"/>
  <c r="M14" i="1" s="1"/>
  <c r="K17" i="1"/>
  <c r="L17" i="1" s="1"/>
  <c r="M17" i="1" s="1"/>
  <c r="K19" i="1"/>
  <c r="L19" i="1" s="1"/>
  <c r="M19" i="1" s="1"/>
  <c r="K13" i="1"/>
  <c r="L13" i="1" s="1"/>
  <c r="M13" i="1" s="1"/>
  <c r="K15" i="1"/>
  <c r="L15" i="1" s="1"/>
  <c r="M15" i="1" s="1"/>
  <c r="K16" i="1"/>
  <c r="L16" i="1" s="1"/>
  <c r="M16" i="1" s="1"/>
  <c r="K18" i="1"/>
  <c r="L18" i="1" s="1"/>
  <c r="M18" i="1" s="1"/>
  <c r="L10" i="1"/>
  <c r="M10" i="1" s="1"/>
  <c r="N10" i="1" s="1"/>
  <c r="N11" i="1" l="1"/>
  <c r="N12" i="1" s="1"/>
  <c r="N13" i="1" s="1"/>
  <c r="N14" i="1" s="1"/>
  <c r="N15" i="1" s="1"/>
  <c r="N16" i="1" s="1"/>
  <c r="N17" i="1" s="1"/>
  <c r="N18" i="1" s="1"/>
  <c r="N19" i="1" s="1"/>
  <c r="N20" i="1" s="1"/>
  <c r="N21" i="1" s="1"/>
  <c r="N22" i="1" s="1"/>
  <c r="N23" i="1" s="1"/>
  <c r="N24" i="1" s="1"/>
</calcChain>
</file>

<file path=xl/sharedStrings.xml><?xml version="1.0" encoding="utf-8"?>
<sst xmlns="http://schemas.openxmlformats.org/spreadsheetml/2006/main" count="28" uniqueCount="23">
  <si>
    <t>PROFITABILITY ANALYSIS - MONTE CARLO SIMULATION</t>
  </si>
  <si>
    <t>C_land</t>
  </si>
  <si>
    <t>S</t>
  </si>
  <si>
    <t>C</t>
  </si>
  <si>
    <t>C_royalties</t>
  </si>
  <si>
    <t>Tax:</t>
  </si>
  <si>
    <t>i</t>
  </si>
  <si>
    <t>TDC</t>
  </si>
  <si>
    <t>WC</t>
  </si>
  <si>
    <t>*IMPORTANT: DON'T CHANGE ANYTHING ON THIS SHEET ACCEPT</t>
  </si>
  <si>
    <t>C_start</t>
  </si>
  <si>
    <t>FOR INPUTS HIGHLIGHTED IN GREEN!</t>
  </si>
  <si>
    <t>(PV)</t>
  </si>
  <si>
    <t>Year</t>
  </si>
  <si>
    <t>C_royalty</t>
  </si>
  <si>
    <t>C_startup</t>
  </si>
  <si>
    <t>V_S</t>
  </si>
  <si>
    <t>D</t>
  </si>
  <si>
    <t>ATE</t>
  </si>
  <si>
    <t>Cash Flow</t>
  </si>
  <si>
    <t>Disc. CF</t>
  </si>
  <si>
    <t>NPV</t>
  </si>
  <si>
    <t>MACRS-7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</si>
</sst>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5" formatCode="_(&quot;$&quot;* #,##0.00_);_(&quot;$&quot;* \(#,##0.00\);_(&quot;$&quot;* &quot;-&quot;??_);_(@_)"/>
    <numFmt numFmtId="168" formatCode="0.0"/>
    <numFmt numFmtId="169" formatCode="0.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165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5">
    <xf numFmtId="0" fontId="0" fillId="0" borderId="0" xfId="0"/>
    <xf numFmtId="165" fontId="0" fillId="0" borderId="0" xfId="1" applyFont="1"/>
    <xf numFmtId="165" fontId="0" fillId="0" borderId="0" xfId="0" applyNumberFormat="1"/>
    <xf numFmtId="0" fontId="0" fillId="0" borderId="0" xfId="0" quotePrefix="1"/>
    <xf numFmtId="2" fontId="0" fillId="2" borderId="2" xfId="0" applyNumberFormat="1" applyFill="1" applyBorder="1"/>
    <xf numFmtId="168" fontId="0" fillId="2" borderId="2" xfId="0" applyNumberFormat="1" applyFill="1" applyBorder="1"/>
    <xf numFmtId="2" fontId="0" fillId="2" borderId="3" xfId="0" applyNumberFormat="1" applyFill="1" applyBorder="1"/>
    <xf numFmtId="0" fontId="0" fillId="2" borderId="4" xfId="0" applyFill="1" applyBorder="1"/>
    <xf numFmtId="169" fontId="0" fillId="2" borderId="4" xfId="2" applyNumberFormat="1" applyFont="1" applyFill="1" applyBorder="1"/>
    <xf numFmtId="168" fontId="0" fillId="2" borderId="3" xfId="0" applyNumberFormat="1" applyFill="1" applyBorder="1"/>
    <xf numFmtId="168" fontId="0" fillId="2" borderId="4" xfId="0" applyNumberFormat="1" applyFill="1" applyBorder="1"/>
    <xf numFmtId="2" fontId="0" fillId="0" borderId="0" xfId="0" applyNumberFormat="1"/>
    <xf numFmtId="10" fontId="0" fillId="0" borderId="0" xfId="2" applyNumberFormat="1" applyFont="1"/>
    <xf numFmtId="2" fontId="0" fillId="3" borderId="1" xfId="0" applyNumberFormat="1" applyFill="1" applyBorder="1"/>
    <xf numFmtId="0" fontId="0" fillId="2" borderId="2" xfId="0" applyNumberFormat="1" applyFill="1" applyBorder="1"/>
  </cellXfs>
  <cellStyles count="3">
    <cellStyle name="Currency" xfId="1" builtinId="4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calcChain" Target="calcChain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1"/>
          <c:order val="0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numRef>
              <c:f>'Histogram Data'!$A$1:$A$9</c:f>
              <c:numCache>
                <c:formatCode>General</c:formatCode>
                <c:ptCount val="9"/>
                <c:pt idx="0">
                  <c:v>-40.5</c:v>
                </c:pt>
                <c:pt idx="1">
                  <c:v>-31.5</c:v>
                </c:pt>
                <c:pt idx="2">
                  <c:v>-22.5</c:v>
                </c:pt>
                <c:pt idx="3">
                  <c:v>-13.5</c:v>
                </c:pt>
                <c:pt idx="4">
                  <c:v>-4.5</c:v>
                </c:pt>
                <c:pt idx="5">
                  <c:v>4.5</c:v>
                </c:pt>
                <c:pt idx="6">
                  <c:v>13.5</c:v>
                </c:pt>
                <c:pt idx="7">
                  <c:v>22.5</c:v>
                </c:pt>
                <c:pt idx="8">
                  <c:v>31.5</c:v>
                </c:pt>
              </c:numCache>
            </c:numRef>
          </c:cat>
          <c:val>
            <c:numRef>
              <c:f>'Histogram Data'!$B$1:$B$9</c:f>
              <c:numCache>
                <c:formatCode>General</c:formatCode>
                <c:ptCount val="9"/>
                <c:pt idx="0">
                  <c:v>1</c:v>
                </c:pt>
                <c:pt idx="1">
                  <c:v>6</c:v>
                </c:pt>
                <c:pt idx="2">
                  <c:v>14</c:v>
                </c:pt>
                <c:pt idx="3">
                  <c:v>18</c:v>
                </c:pt>
                <c:pt idx="4">
                  <c:v>18</c:v>
                </c:pt>
                <c:pt idx="5">
                  <c:v>16</c:v>
                </c:pt>
                <c:pt idx="6">
                  <c:v>12</c:v>
                </c:pt>
                <c:pt idx="7">
                  <c:v>8</c:v>
                </c:pt>
                <c:pt idx="8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211-4BE4-A28A-4A4FF04F5D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20414384"/>
        <c:axId val="1720415632"/>
      </c:barChart>
      <c:catAx>
        <c:axId val="1720414384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Bin Center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0415632"/>
        <c:crosses val="autoZero"/>
        <c:auto val="1"/>
        <c:lblAlgn val="ctr"/>
        <c:lblOffset val="100"/>
        <c:noMultiLvlLbl val="0"/>
      </c:catAx>
      <c:valAx>
        <c:axId val="17204156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2041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AC5F166-3501-40DB-BE86-96288759B4CD}">
  <sheetPr codeName="Chart33"/>
  <sheetViews>
    <sheetView zoomScale="117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895350</xdr:colOff>
          <xdr:row>25</xdr:row>
          <xdr:rowOff>85725</xdr:rowOff>
        </xdr:from>
        <xdr:to>
          <xdr:col>4</xdr:col>
          <xdr:colOff>400050</xdr:colOff>
          <xdr:row>27</xdr:row>
          <xdr:rowOff>142875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EBF353A2-DF73-404F-A6F3-925D2C6E701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CA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 Simulation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8670192" cy="6293013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FF089F1C-B970-4AB4-AAE2-1AD7F8E1B60C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P27"/>
  <sheetViews>
    <sheetView tabSelected="1" zoomScaleNormal="100" workbookViewId="0">
      <selection activeCell="H30" sqref="H30"/>
    </sheetView>
  </sheetViews>
  <sheetFormatPr defaultRowHeight="15" x14ac:dyDescent="0.25"/>
  <cols>
    <col min="1" max="1" width="19.140625" bestFit="1" customWidth="1"/>
    <col min="2" max="2" width="11.85546875" bestFit="1" customWidth="1"/>
    <col min="3" max="3" width="13.140625" customWidth="1"/>
    <col min="4" max="4" width="9.85546875" bestFit="1" customWidth="1"/>
    <col min="5" max="5" width="10.42578125" bestFit="1" customWidth="1"/>
    <col min="6" max="6" width="10.7109375" customWidth="1"/>
    <col min="7" max="7" width="11.85546875" bestFit="1" customWidth="1"/>
    <col min="8" max="8" width="11" customWidth="1"/>
    <col min="9" max="9" width="9.140625" bestFit="1" customWidth="1"/>
  </cols>
  <sheetData>
    <row r="1" spans="1:16" x14ac:dyDescent="0.25">
      <c r="A1" t="s">
        <v>0</v>
      </c>
    </row>
    <row r="2" spans="1:16" ht="15.75" thickBot="1" x14ac:dyDescent="0.3"/>
    <row r="3" spans="1:16" x14ac:dyDescent="0.25">
      <c r="A3" t="s">
        <v>1</v>
      </c>
      <c r="B3" s="14">
        <v>-20</v>
      </c>
      <c r="D3" t="s">
        <v>2</v>
      </c>
      <c r="E3" s="5">
        <v>49.027129743951306</v>
      </c>
      <c r="G3" t="s">
        <v>3</v>
      </c>
      <c r="H3" s="4">
        <v>7.0546527432966624</v>
      </c>
    </row>
    <row r="4" spans="1:16" ht="15.75" thickBot="1" x14ac:dyDescent="0.3">
      <c r="A4" t="s">
        <v>4</v>
      </c>
      <c r="B4" s="6">
        <v>-6.4932407722783871</v>
      </c>
      <c r="D4" t="s">
        <v>5</v>
      </c>
      <c r="E4" s="7">
        <v>0.4</v>
      </c>
      <c r="G4" t="s">
        <v>6</v>
      </c>
      <c r="H4" s="8">
        <v>0.13934506177902223</v>
      </c>
    </row>
    <row r="5" spans="1:16" x14ac:dyDescent="0.25">
      <c r="A5" t="s">
        <v>7</v>
      </c>
      <c r="B5" s="9">
        <v>-73.667108071314331</v>
      </c>
    </row>
    <row r="6" spans="1:16" x14ac:dyDescent="0.25">
      <c r="A6" t="s">
        <v>8</v>
      </c>
      <c r="B6" s="9">
        <v>-22.71987920999527</v>
      </c>
      <c r="E6" t="s">
        <v>9</v>
      </c>
    </row>
    <row r="7" spans="1:16" ht="15.75" thickBot="1" x14ac:dyDescent="0.3">
      <c r="A7" t="s">
        <v>10</v>
      </c>
      <c r="B7" s="10">
        <v>-15.966294412161139</v>
      </c>
      <c r="E7" t="s">
        <v>11</v>
      </c>
    </row>
    <row r="8" spans="1:16" x14ac:dyDescent="0.25">
      <c r="M8" t="s">
        <v>12</v>
      </c>
    </row>
    <row r="9" spans="1:16" x14ac:dyDescent="0.25">
      <c r="A9" t="s">
        <v>13</v>
      </c>
      <c r="B9" t="s">
        <v>7</v>
      </c>
      <c r="C9" t="s">
        <v>8</v>
      </c>
      <c r="D9" t="s">
        <v>1</v>
      </c>
      <c r="E9" t="s">
        <v>14</v>
      </c>
      <c r="F9" t="s">
        <v>15</v>
      </c>
      <c r="G9" t="s">
        <v>16</v>
      </c>
      <c r="H9" t="s">
        <v>17</v>
      </c>
      <c r="I9" t="s">
        <v>2</v>
      </c>
      <c r="J9" t="s">
        <v>3</v>
      </c>
      <c r="K9" t="s">
        <v>18</v>
      </c>
      <c r="L9" t="s">
        <v>19</v>
      </c>
      <c r="M9" t="s">
        <v>20</v>
      </c>
      <c r="N9" t="s">
        <v>21</v>
      </c>
      <c r="P9" t="s">
        <v>22</v>
      </c>
    </row>
    <row r="10" spans="1:16" x14ac:dyDescent="0.25">
      <c r="A10">
        <v>1</v>
      </c>
      <c r="B10" s="11">
        <f>0.5*CTDC</f>
        <v>-36.833554035657166</v>
      </c>
      <c r="C10" s="11"/>
      <c r="D10" s="11">
        <f>Cland</f>
        <v>-20</v>
      </c>
      <c r="E10" s="11"/>
      <c r="F10" s="11"/>
      <c r="G10" s="11"/>
      <c r="H10" s="11"/>
      <c r="I10" s="11"/>
      <c r="J10" s="11"/>
      <c r="L10">
        <f>B10+D10</f>
        <v>-56.833554035657166</v>
      </c>
      <c r="M10" s="11">
        <f t="shared" ref="M10:M24" si="0">L10/(1+i)^(A10-1)</f>
        <v>-56.833554035657166</v>
      </c>
      <c r="N10" s="11">
        <f>M10</f>
        <v>-56.833554035657166</v>
      </c>
    </row>
    <row r="11" spans="1:16" x14ac:dyDescent="0.25">
      <c r="A11">
        <v>2</v>
      </c>
      <c r="B11" s="11">
        <f>0.5*CTDC</f>
        <v>-36.833554035657166</v>
      </c>
      <c r="C11" s="11">
        <f>WC</f>
        <v>-22.71987920999527</v>
      </c>
      <c r="D11" s="11"/>
      <c r="E11" s="11"/>
      <c r="F11" s="11">
        <f>Cstart</f>
        <v>-15.966294412161139</v>
      </c>
      <c r="G11" s="11"/>
      <c r="H11" s="11"/>
      <c r="I11" s="11"/>
      <c r="J11" s="11"/>
      <c r="L11">
        <f>B11+C11+F11</f>
        <v>-75.519727657813576</v>
      </c>
      <c r="M11" s="11">
        <f t="shared" si="0"/>
        <v>-66.283455461591103</v>
      </c>
      <c r="N11" s="11">
        <f>N10+M11</f>
        <v>-123.11700949724826</v>
      </c>
    </row>
    <row r="12" spans="1:16" x14ac:dyDescent="0.25">
      <c r="A12">
        <v>3</v>
      </c>
      <c r="B12" s="11"/>
      <c r="C12" s="11"/>
      <c r="D12" s="11"/>
      <c r="E12" s="11">
        <f t="shared" ref="E12:E24" si="1">Croyal</f>
        <v>-6.4932407722783871</v>
      </c>
      <c r="F12" s="11"/>
      <c r="G12" s="11"/>
      <c r="H12" s="11">
        <f>P12*-CTDC</f>
        <v>10.527029743390818</v>
      </c>
      <c r="I12" s="11">
        <f>0.5*S</f>
        <v>24.513564871975653</v>
      </c>
      <c r="J12" s="11">
        <f>0.5*COS</f>
        <v>3.5273263716483312</v>
      </c>
      <c r="K12" s="11">
        <f>(1-tax)*(I12-J12-H12)</f>
        <v>6.2755252541619013</v>
      </c>
      <c r="L12" s="11">
        <f t="shared" ref="L12:L23" si="2">K12+H12+E12</f>
        <v>10.309314225274331</v>
      </c>
      <c r="M12" s="11">
        <f t="shared" si="0"/>
        <v>7.9418051645618419</v>
      </c>
      <c r="N12" s="11">
        <f t="shared" ref="N12:N23" si="3">N11+M12</f>
        <v>-115.17520433268642</v>
      </c>
      <c r="P12" s="12">
        <v>0.1429</v>
      </c>
    </row>
    <row r="13" spans="1:16" x14ac:dyDescent="0.25">
      <c r="A13">
        <v>4</v>
      </c>
      <c r="B13" s="11"/>
      <c r="C13" s="11"/>
      <c r="D13" s="11"/>
      <c r="E13" s="11">
        <f t="shared" si="1"/>
        <v>-6.4932407722783871</v>
      </c>
      <c r="F13" s="11"/>
      <c r="G13" s="11"/>
      <c r="H13" s="11">
        <f t="shared" ref="H13:H19" si="4">P13*-CTDC</f>
        <v>18.041074766664881</v>
      </c>
      <c r="I13" s="11">
        <f>0.8*S</f>
        <v>39.221703795161048</v>
      </c>
      <c r="J13" s="11">
        <f>0.8*COS</f>
        <v>5.6437221946373306</v>
      </c>
      <c r="K13" s="11">
        <f t="shared" ref="K13:K24" si="5">(1-tax)*(I13-J13-H13)</f>
        <v>9.3221441003152989</v>
      </c>
      <c r="L13" s="11">
        <f t="shared" si="2"/>
        <v>20.869978094701793</v>
      </c>
      <c r="M13" s="11">
        <f t="shared" si="0"/>
        <v>14.11094731101255</v>
      </c>
      <c r="N13" s="11">
        <f t="shared" si="3"/>
        <v>-101.06425702167387</v>
      </c>
      <c r="P13" s="12">
        <v>0.24490000000000001</v>
      </c>
    </row>
    <row r="14" spans="1:16" x14ac:dyDescent="0.25">
      <c r="A14">
        <v>5</v>
      </c>
      <c r="B14" s="11"/>
      <c r="C14" s="11"/>
      <c r="D14" s="11"/>
      <c r="E14" s="11">
        <f t="shared" si="1"/>
        <v>-6.4932407722783871</v>
      </c>
      <c r="F14" s="11"/>
      <c r="G14" s="11"/>
      <c r="H14" s="11">
        <f t="shared" si="4"/>
        <v>12.884377201672876</v>
      </c>
      <c r="I14" s="11">
        <f t="shared" ref="I14:I24" si="6">S</f>
        <v>49.027129743951306</v>
      </c>
      <c r="J14" s="11">
        <f t="shared" ref="J14:J24" si="7">COS</f>
        <v>7.0546527432966624</v>
      </c>
      <c r="K14" s="11">
        <f t="shared" si="5"/>
        <v>17.452859879389059</v>
      </c>
      <c r="L14" s="11">
        <f t="shared" si="2"/>
        <v>23.843996308783549</v>
      </c>
      <c r="M14" s="11">
        <f t="shared" si="0"/>
        <v>14.15004915791298</v>
      </c>
      <c r="N14" s="11">
        <f t="shared" si="3"/>
        <v>-86.914207863760893</v>
      </c>
      <c r="P14" s="12">
        <v>0.1749</v>
      </c>
    </row>
    <row r="15" spans="1:16" x14ac:dyDescent="0.25">
      <c r="A15">
        <v>6</v>
      </c>
      <c r="B15" s="11"/>
      <c r="C15" s="11"/>
      <c r="D15" s="11"/>
      <c r="E15" s="11">
        <f t="shared" si="1"/>
        <v>-6.4932407722783871</v>
      </c>
      <c r="F15" s="11"/>
      <c r="G15" s="11"/>
      <c r="H15" s="11">
        <f t="shared" si="4"/>
        <v>9.2010217981071598</v>
      </c>
      <c r="I15" s="11">
        <f t="shared" si="6"/>
        <v>49.027129743951306</v>
      </c>
      <c r="J15" s="11">
        <f t="shared" si="7"/>
        <v>7.0546527432966624</v>
      </c>
      <c r="K15" s="11">
        <f t="shared" si="5"/>
        <v>19.662873121528492</v>
      </c>
      <c r="L15" s="11">
        <f t="shared" si="2"/>
        <v>22.370654147357264</v>
      </c>
      <c r="M15" s="11">
        <f t="shared" si="0"/>
        <v>11.652049260511333</v>
      </c>
      <c r="N15" s="11">
        <f t="shared" si="3"/>
        <v>-75.26215860324956</v>
      </c>
      <c r="P15" s="12">
        <v>0.1249</v>
      </c>
    </row>
    <row r="16" spans="1:16" x14ac:dyDescent="0.25">
      <c r="A16">
        <v>7</v>
      </c>
      <c r="B16" s="11"/>
      <c r="C16" s="11"/>
      <c r="D16" s="11"/>
      <c r="E16" s="11">
        <f t="shared" si="1"/>
        <v>-6.4932407722783871</v>
      </c>
      <c r="F16" s="11"/>
      <c r="G16" s="11"/>
      <c r="H16" s="11">
        <f t="shared" si="4"/>
        <v>6.5784727507683698</v>
      </c>
      <c r="I16" s="11">
        <f t="shared" si="6"/>
        <v>49.027129743951306</v>
      </c>
      <c r="J16" s="11">
        <f t="shared" si="7"/>
        <v>7.0546527432966624</v>
      </c>
      <c r="K16" s="11">
        <f t="shared" si="5"/>
        <v>21.236402549931764</v>
      </c>
      <c r="L16" s="11">
        <f t="shared" si="2"/>
        <v>21.321634528421747</v>
      </c>
      <c r="M16" s="11">
        <f t="shared" si="0"/>
        <v>9.7474013587768997</v>
      </c>
      <c r="N16" s="11">
        <f t="shared" si="3"/>
        <v>-65.514757244472662</v>
      </c>
      <c r="P16" s="12">
        <v>8.9300000000000004E-2</v>
      </c>
    </row>
    <row r="17" spans="1:16" x14ac:dyDescent="0.25">
      <c r="A17">
        <v>8</v>
      </c>
      <c r="B17" s="11"/>
      <c r="C17" s="11"/>
      <c r="D17" s="11"/>
      <c r="E17" s="11">
        <f t="shared" si="1"/>
        <v>-6.4932407722783871</v>
      </c>
      <c r="F17" s="11"/>
      <c r="G17" s="11"/>
      <c r="H17" s="11">
        <f t="shared" si="4"/>
        <v>6.5711060399612382</v>
      </c>
      <c r="I17" s="11">
        <f t="shared" si="6"/>
        <v>49.027129743951306</v>
      </c>
      <c r="J17" s="11">
        <f t="shared" si="7"/>
        <v>7.0546527432966624</v>
      </c>
      <c r="K17" s="11">
        <f t="shared" si="5"/>
        <v>21.240822576416043</v>
      </c>
      <c r="L17" s="11">
        <f t="shared" si="2"/>
        <v>21.318687844098893</v>
      </c>
      <c r="M17" s="11">
        <f t="shared" si="0"/>
        <v>8.5540847800320634</v>
      </c>
      <c r="N17" s="11">
        <f t="shared" si="3"/>
        <v>-56.960672464440599</v>
      </c>
      <c r="P17" s="12">
        <v>8.9200000000000002E-2</v>
      </c>
    </row>
    <row r="18" spans="1:16" x14ac:dyDescent="0.25">
      <c r="A18">
        <v>9</v>
      </c>
      <c r="B18" s="11"/>
      <c r="C18" s="11"/>
      <c r="D18" s="11"/>
      <c r="E18" s="11">
        <f t="shared" si="1"/>
        <v>-6.4932407722783871</v>
      </c>
      <c r="F18" s="11"/>
      <c r="G18" s="11"/>
      <c r="H18" s="11">
        <f t="shared" si="4"/>
        <v>6.5784727507683698</v>
      </c>
      <c r="I18" s="11">
        <f t="shared" si="6"/>
        <v>49.027129743951306</v>
      </c>
      <c r="J18" s="11">
        <f t="shared" si="7"/>
        <v>7.0546527432966624</v>
      </c>
      <c r="K18" s="11">
        <f t="shared" si="5"/>
        <v>21.236402549931764</v>
      </c>
      <c r="L18" s="11">
        <f t="shared" si="2"/>
        <v>21.321634528421747</v>
      </c>
      <c r="M18" s="11">
        <f t="shared" si="0"/>
        <v>7.508934227885713</v>
      </c>
      <c r="N18" s="11">
        <f t="shared" si="3"/>
        <v>-49.451738236554888</v>
      </c>
      <c r="P18" s="12">
        <v>8.9300000000000004E-2</v>
      </c>
    </row>
    <row r="19" spans="1:16" x14ac:dyDescent="0.25">
      <c r="A19">
        <v>10</v>
      </c>
      <c r="B19" s="11"/>
      <c r="C19" s="11"/>
      <c r="D19" s="11"/>
      <c r="E19" s="11">
        <f t="shared" si="1"/>
        <v>-6.4932407722783871</v>
      </c>
      <c r="F19" s="11"/>
      <c r="G19" s="11"/>
      <c r="H19" s="11">
        <f t="shared" si="4"/>
        <v>3.2855530199806191</v>
      </c>
      <c r="I19" s="11">
        <f t="shared" si="6"/>
        <v>49.027129743951306</v>
      </c>
      <c r="J19" s="11">
        <f t="shared" si="7"/>
        <v>7.0546527432966624</v>
      </c>
      <c r="K19" s="11">
        <f t="shared" si="5"/>
        <v>23.212154388404414</v>
      </c>
      <c r="L19" s="11">
        <f t="shared" si="2"/>
        <v>20.004466636106645</v>
      </c>
      <c r="M19" s="11">
        <f t="shared" si="0"/>
        <v>6.1834308398057782</v>
      </c>
      <c r="N19" s="11">
        <f t="shared" si="3"/>
        <v>-43.268307396749108</v>
      </c>
      <c r="P19" s="12">
        <v>4.4600000000000001E-2</v>
      </c>
    </row>
    <row r="20" spans="1:16" x14ac:dyDescent="0.25">
      <c r="A20">
        <v>11</v>
      </c>
      <c r="B20" s="11"/>
      <c r="C20" s="11"/>
      <c r="D20" s="11"/>
      <c r="E20" s="11">
        <f t="shared" si="1"/>
        <v>-6.4932407722783871</v>
      </c>
      <c r="F20" s="11"/>
      <c r="G20" s="11"/>
      <c r="H20" s="11"/>
      <c r="I20" s="11">
        <f t="shared" si="6"/>
        <v>49.027129743951306</v>
      </c>
      <c r="J20" s="11">
        <f t="shared" si="7"/>
        <v>7.0546527432966624</v>
      </c>
      <c r="K20" s="11">
        <f t="shared" si="5"/>
        <v>25.183486200392785</v>
      </c>
      <c r="L20" s="11">
        <f t="shared" si="2"/>
        <v>18.690245428114398</v>
      </c>
      <c r="M20" s="11">
        <f t="shared" si="0"/>
        <v>5.0706339633982989</v>
      </c>
      <c r="N20" s="11">
        <f t="shared" si="3"/>
        <v>-38.197673433350808</v>
      </c>
    </row>
    <row r="21" spans="1:16" x14ac:dyDescent="0.25">
      <c r="A21">
        <v>12</v>
      </c>
      <c r="B21" s="11"/>
      <c r="C21" s="11"/>
      <c r="D21" s="11"/>
      <c r="E21" s="11">
        <f t="shared" si="1"/>
        <v>-6.4932407722783871</v>
      </c>
      <c r="F21" s="11"/>
      <c r="G21" s="11"/>
      <c r="H21" s="11"/>
      <c r="I21" s="11">
        <f t="shared" si="6"/>
        <v>49.027129743951306</v>
      </c>
      <c r="J21" s="11">
        <f t="shared" si="7"/>
        <v>7.0546527432966624</v>
      </c>
      <c r="K21" s="11">
        <f t="shared" si="5"/>
        <v>25.183486200392785</v>
      </c>
      <c r="L21" s="11">
        <f t="shared" si="2"/>
        <v>18.690245428114398</v>
      </c>
      <c r="M21" s="11">
        <f t="shared" si="0"/>
        <v>4.45048136293389</v>
      </c>
      <c r="N21" s="11">
        <f t="shared" si="3"/>
        <v>-33.747192070416915</v>
      </c>
    </row>
    <row r="22" spans="1:16" x14ac:dyDescent="0.25">
      <c r="A22">
        <v>13</v>
      </c>
      <c r="B22" s="11"/>
      <c r="C22" s="11"/>
      <c r="D22" s="11"/>
      <c r="E22" s="11">
        <f t="shared" si="1"/>
        <v>-6.4932407722783871</v>
      </c>
      <c r="F22" s="11"/>
      <c r="G22" s="11"/>
      <c r="H22" s="11"/>
      <c r="I22" s="11">
        <f t="shared" si="6"/>
        <v>49.027129743951306</v>
      </c>
      <c r="J22" s="11">
        <f t="shared" si="7"/>
        <v>7.0546527432966624</v>
      </c>
      <c r="K22" s="11">
        <f t="shared" si="5"/>
        <v>25.183486200392785</v>
      </c>
      <c r="L22" s="11">
        <f t="shared" si="2"/>
        <v>18.690245428114398</v>
      </c>
      <c r="M22" s="11">
        <f t="shared" si="0"/>
        <v>3.9061751459076999</v>
      </c>
      <c r="N22" s="11">
        <f t="shared" si="3"/>
        <v>-29.841016924509216</v>
      </c>
    </row>
    <row r="23" spans="1:16" ht="15.75" thickBot="1" x14ac:dyDescent="0.3">
      <c r="A23">
        <v>14</v>
      </c>
      <c r="B23" s="11"/>
      <c r="C23" s="11"/>
      <c r="D23" s="11"/>
      <c r="E23" s="11">
        <f t="shared" si="1"/>
        <v>-6.4932407722783871</v>
      </c>
      <c r="F23" s="11"/>
      <c r="G23" s="11"/>
      <c r="H23" s="11"/>
      <c r="I23" s="11">
        <f t="shared" si="6"/>
        <v>49.027129743951306</v>
      </c>
      <c r="J23" s="11">
        <f t="shared" si="7"/>
        <v>7.0546527432966624</v>
      </c>
      <c r="K23" s="11">
        <f t="shared" si="5"/>
        <v>25.183486200392785</v>
      </c>
      <c r="L23" s="11">
        <f t="shared" si="2"/>
        <v>18.690245428114398</v>
      </c>
      <c r="M23" s="11">
        <f t="shared" si="0"/>
        <v>3.4284390892153698</v>
      </c>
      <c r="N23" s="11">
        <f t="shared" si="3"/>
        <v>-26.412577835293845</v>
      </c>
    </row>
    <row r="24" spans="1:16" ht="15.75" thickBot="1" x14ac:dyDescent="0.3">
      <c r="A24">
        <v>15</v>
      </c>
      <c r="B24" s="11"/>
      <c r="C24" s="11">
        <f>-WC</f>
        <v>22.71987920999527</v>
      </c>
      <c r="D24" s="11"/>
      <c r="E24" s="11">
        <f t="shared" si="1"/>
        <v>-6.4932407722783871</v>
      </c>
      <c r="F24" s="11"/>
      <c r="G24" s="11"/>
      <c r="H24" s="11"/>
      <c r="I24" s="11">
        <f t="shared" si="6"/>
        <v>49.027129743951306</v>
      </c>
      <c r="J24" s="11">
        <f t="shared" si="7"/>
        <v>7.0546527432966624</v>
      </c>
      <c r="K24" s="11">
        <f t="shared" si="5"/>
        <v>25.183486200392785</v>
      </c>
      <c r="L24" s="11">
        <f>C24+K24+G24+E24</f>
        <v>41.410124638109664</v>
      </c>
      <c r="M24" s="11">
        <f t="shared" si="0"/>
        <v>6.6670344173903828</v>
      </c>
      <c r="N24" s="13">
        <f>N23+M24</f>
        <v>-19.745543417903463</v>
      </c>
    </row>
    <row r="25" spans="1:16" x14ac:dyDescent="0.25">
      <c r="C25" s="3"/>
      <c r="D25" s="2"/>
      <c r="E25" s="1"/>
      <c r="F25" s="2"/>
      <c r="G25" s="1"/>
      <c r="H25" s="1"/>
    </row>
    <row r="26" spans="1:16" x14ac:dyDescent="0.25">
      <c r="C26" s="3"/>
      <c r="D26" s="2"/>
      <c r="E26" s="1"/>
      <c r="F26" s="2"/>
      <c r="G26" s="1"/>
      <c r="H26" s="1"/>
    </row>
    <row r="27" spans="1:16" x14ac:dyDescent="0.25">
      <c r="C27" s="3"/>
      <c r="D27" s="2"/>
      <c r="E27" s="1"/>
      <c r="F27" s="2"/>
      <c r="G27" s="1"/>
      <c r="H27" s="1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RunForm">
                <anchor moveWithCells="1" sizeWithCells="1">
                  <from>
                    <xdr:col>2</xdr:col>
                    <xdr:colOff>895350</xdr:colOff>
                    <xdr:row>25</xdr:row>
                    <xdr:rowOff>85725</xdr:rowOff>
                  </from>
                  <to>
                    <xdr:col>4</xdr:col>
                    <xdr:colOff>400050</xdr:colOff>
                    <xdr:row>27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B9"/>
  <sheetViews>
    <sheetView workbookViewId="0">
      <selection sqref="A1:B9"/>
    </sheetView>
  </sheetViews>
  <sheetFormatPr defaultRowHeight="15" x14ac:dyDescent="0.25"/>
  <sheetData>
    <row r="1" spans="1:2" x14ac:dyDescent="0.25">
      <c r="A1">
        <v>-40.5</v>
      </c>
      <c r="B1">
        <v>1</v>
      </c>
    </row>
    <row r="2" spans="1:2" x14ac:dyDescent="0.25">
      <c r="A2">
        <v>-31.5</v>
      </c>
      <c r="B2">
        <v>6</v>
      </c>
    </row>
    <row r="3" spans="1:2" x14ac:dyDescent="0.25">
      <c r="A3">
        <v>-22.5</v>
      </c>
      <c r="B3">
        <v>14</v>
      </c>
    </row>
    <row r="4" spans="1:2" x14ac:dyDescent="0.25">
      <c r="A4">
        <v>-13.5</v>
      </c>
      <c r="B4">
        <v>18</v>
      </c>
    </row>
    <row r="5" spans="1:2" x14ac:dyDescent="0.25">
      <c r="A5">
        <v>-4.5</v>
      </c>
      <c r="B5">
        <v>18</v>
      </c>
    </row>
    <row r="6" spans="1:2" x14ac:dyDescent="0.25">
      <c r="A6">
        <v>4.5</v>
      </c>
      <c r="B6">
        <v>16</v>
      </c>
    </row>
    <row r="7" spans="1:2" x14ac:dyDescent="0.25">
      <c r="A7">
        <v>13.5</v>
      </c>
      <c r="B7">
        <v>12</v>
      </c>
    </row>
    <row r="8" spans="1:2" x14ac:dyDescent="0.25">
      <c r="A8">
        <v>22.5</v>
      </c>
      <c r="B8">
        <v>8</v>
      </c>
    </row>
    <row r="9" spans="1:2" x14ac:dyDescent="0.25">
      <c r="A9">
        <v>31.5</v>
      </c>
      <c r="B9">
        <v>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  <vt:variant>
        <vt:lpstr>Named Ranges</vt:lpstr>
      </vt:variant>
      <vt:variant>
        <vt:i4>9</vt:i4>
      </vt:variant>
    </vt:vector>
  </HeadingPairs>
  <TitlesOfParts>
    <vt:vector size="12" baseType="lpstr">
      <vt:lpstr>Main</vt:lpstr>
      <vt:lpstr>Histogram Data</vt:lpstr>
      <vt:lpstr>Histogram</vt:lpstr>
      <vt:lpstr>Cland</vt:lpstr>
      <vt:lpstr>COS</vt:lpstr>
      <vt:lpstr>Croyal</vt:lpstr>
      <vt:lpstr>Cstart</vt:lpstr>
      <vt:lpstr>CTDC</vt:lpstr>
      <vt:lpstr>i</vt:lpstr>
      <vt:lpstr>S</vt:lpstr>
      <vt:lpstr>tax</vt:lpstr>
      <vt:lpstr>WC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Karim</cp:lastModifiedBy>
  <dcterms:created xsi:type="dcterms:W3CDTF">2013-10-29T18:00:12Z</dcterms:created>
  <dcterms:modified xsi:type="dcterms:W3CDTF">2021-03-11T01:48:59Z</dcterms:modified>
</cp:coreProperties>
</file>